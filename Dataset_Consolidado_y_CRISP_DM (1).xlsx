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_Empleado_BUSCARV" sheetId="1" state="visible" r:id="rId1"/>
    <sheet xmlns:r="http://schemas.openxmlformats.org/officeDocument/2006/relationships" name="Consolidated_Dataset" sheetId="2" state="visible" r:id="rId2"/>
    <sheet xmlns:r="http://schemas.openxmlformats.org/officeDocument/2006/relationships" name="Metodologia_CRISP_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1"/>
    </font>
    <font>
      <b val="1"/>
      <color rgb="001B365D"/>
      <sz val="11"/>
    </font>
    <font>
      <b val="1"/>
    </font>
    <font>
      <sz val="11"/>
    </font>
    <font>
      <b val="1"/>
      <color rgb="001B365D"/>
      <sz val="12"/>
    </font>
    <font>
      <name val="Calibri"/>
      <b val="1"/>
      <color rgb="00FFFFFF"/>
      <sz val="11"/>
    </font>
    <font>
      <b val="1"/>
      <color rgb="001B365D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9FAFC"/>
        <bgColor rgb="00F9FAF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5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0" fontId="7" fillId="2" borderId="0" pivotButton="0" quotePrefix="0" xfId="0"/>
    <xf numFmtId="0" fontId="8" fillId="4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38" customWidth="1" min="2" max="2"/>
    <col width="25" customWidth="1" min="3" max="3"/>
  </cols>
  <sheetData>
    <row r="2">
      <c r="B2" s="1" t="inlineStr">
        <is>
          <t>SISTEMA DE CONSULTA DE RETENCIÓN DE PERSONAL (BUSCARV)</t>
        </is>
      </c>
    </row>
    <row r="4">
      <c r="B4" s="2" t="inlineStr">
        <is>
          <t>Ingrese Número de Cédula:</t>
        </is>
      </c>
      <c r="C4" s="3" t="inlineStr">
        <is>
          <t>1000001001</t>
        </is>
      </c>
    </row>
    <row r="6">
      <c r="B6" s="4" t="inlineStr">
        <is>
          <t>Nombre Completo</t>
        </is>
      </c>
      <c r="C6" s="5">
        <f>VLOOKUP($C$4, Consolidated_Dataset!$A$2:$M$41, 2, FALSE)</f>
        <v/>
      </c>
    </row>
    <row r="7">
      <c r="B7" s="4" t="inlineStr">
        <is>
          <t>Edad</t>
        </is>
      </c>
      <c r="C7" s="5">
        <f>VLOOKUP($C$4, Consolidated_Dataset!$A$2:$M$41, 3, FALSE)</f>
        <v/>
      </c>
    </row>
    <row r="8">
      <c r="B8" s="4" t="inlineStr">
        <is>
          <t>Departamento</t>
        </is>
      </c>
      <c r="C8" s="5">
        <f>VLOOKUP($C$4, Consolidated_Dataset!$A$2:$M$41, 4, FALSE)</f>
        <v/>
      </c>
    </row>
    <row r="9">
      <c r="B9" s="4" t="inlineStr">
        <is>
          <t>Cargo</t>
        </is>
      </c>
      <c r="C9" s="5">
        <f>VLOOKUP($C$4, Consolidated_Dataset!$A$2:$M$41, 5, FALSE)</f>
        <v/>
      </c>
    </row>
    <row r="10">
      <c r="B10" s="4" t="inlineStr">
        <is>
          <t>Salario (COP)</t>
        </is>
      </c>
      <c r="C10" s="6">
        <f>VLOOKUP($C$4, Consolidated_Dataset!$A$2:$M$41, 6, FALSE)</f>
        <v/>
      </c>
    </row>
    <row r="11">
      <c r="B11" s="4" t="inlineStr">
        <is>
          <t>Modalidad Trabajo</t>
        </is>
      </c>
      <c r="C11" s="5">
        <f>VLOOKUP($C$4, Consolidated_Dataset!$A$2:$M$41, 7, FALSE)</f>
        <v/>
      </c>
    </row>
    <row r="12">
      <c r="B12" s="4" t="inlineStr">
        <is>
          <t>Distancia Casa-Trabajo (km)</t>
        </is>
      </c>
      <c r="C12" s="5">
        <f>VLOOKUP($C$4, Consolidated_Dataset!$A$2:$M$41, 8, FALSE)</f>
        <v/>
      </c>
    </row>
    <row r="13">
      <c r="B13" s="4" t="inlineStr">
        <is>
          <t>Satisfacción Laboral (1-5)</t>
        </is>
      </c>
      <c r="C13" s="5">
        <f>VLOOKUP($C$4, Consolidated_Dataset!$A$2:$M$41, 9, FALSE)</f>
        <v/>
      </c>
    </row>
    <row r="14">
      <c r="B14" s="4" t="inlineStr">
        <is>
          <t>Evaluación Desempeño (1-5)</t>
        </is>
      </c>
      <c r="C14" s="5">
        <f>VLOOKUP($C$4, Consolidated_Dataset!$A$2:$M$41, 10, FALSE)</f>
        <v/>
      </c>
    </row>
    <row r="15">
      <c r="B15" s="4" t="inlineStr">
        <is>
          <t>Horas Capacitación/Año</t>
        </is>
      </c>
      <c r="C15" s="5">
        <f>VLOOKUP($C$4, Consolidated_Dataset!$A$2:$M$41, 11, FALSE)</f>
        <v/>
      </c>
    </row>
    <row r="16">
      <c r="B16" s="4" t="inlineStr">
        <is>
          <t>Número Promociones</t>
        </is>
      </c>
      <c r="C16" s="5">
        <f>VLOOKUP($C$4, Consolidated_Dataset!$A$2:$M$41, 12, FALSE)</f>
        <v/>
      </c>
    </row>
    <row r="17">
      <c r="B17" s="4" t="inlineStr">
        <is>
          <t>Tiempo Permanencia Estimado (Meses)</t>
        </is>
      </c>
      <c r="C17" s="7">
        <f>VLOOKUP($C$4, Consolidated_Dataset!$A$2:$M$41, 13, FALSE)</f>
        <v/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20" customWidth="1" min="4" max="4"/>
    <col width="29" customWidth="1" min="5" max="5"/>
    <col width="17" customWidth="1" min="6" max="6"/>
    <col width="21" customWidth="1" min="7" max="7"/>
    <col width="31" customWidth="1" min="8" max="8"/>
    <col width="30" customWidth="1" min="9" max="9"/>
    <col width="30" customWidth="1" min="10" max="10"/>
    <col width="26" customWidth="1" min="11" max="11"/>
    <col width="22" customWidth="1" min="12" max="12"/>
    <col width="39" customWidth="1" min="13" max="13"/>
  </cols>
  <sheetData>
    <row r="1">
      <c r="A1" s="8" t="inlineStr">
        <is>
          <t>Número de Cédula</t>
        </is>
      </c>
      <c r="B1" s="8" t="inlineStr">
        <is>
          <t>Nombre Completo</t>
        </is>
      </c>
      <c r="C1" s="8" t="inlineStr">
        <is>
          <t>Edad</t>
        </is>
      </c>
      <c r="D1" s="8" t="inlineStr">
        <is>
          <t>Departamento</t>
        </is>
      </c>
      <c r="E1" s="8" t="inlineStr">
        <is>
          <t>Cargo</t>
        </is>
      </c>
      <c r="F1" s="8" t="inlineStr">
        <is>
          <t>Salario (COP)</t>
        </is>
      </c>
      <c r="G1" s="8" t="inlineStr">
        <is>
          <t>Modalidad Trabajo</t>
        </is>
      </c>
      <c r="H1" s="8" t="inlineStr">
        <is>
          <t>Distancia Casa-Trabajo (km)</t>
        </is>
      </c>
      <c r="I1" s="8" t="inlineStr">
        <is>
          <t>Satisfacción Laboral (1-5)</t>
        </is>
      </c>
      <c r="J1" s="8" t="inlineStr">
        <is>
          <t>Evaluación Desempeño (1-5)</t>
        </is>
      </c>
      <c r="K1" s="8" t="inlineStr">
        <is>
          <t>Horas Capacitación/Año</t>
        </is>
      </c>
      <c r="L1" s="8" t="inlineStr">
        <is>
          <t>Número Promociones</t>
        </is>
      </c>
      <c r="M1" s="8" t="inlineStr">
        <is>
          <t>Tiempo Permanencia Estimado (Meses)</t>
        </is>
      </c>
    </row>
    <row r="2">
      <c r="A2" s="9" t="inlineStr">
        <is>
          <t>1000001001</t>
        </is>
      </c>
      <c r="B2" s="9" t="inlineStr">
        <is>
          <t>Empleado_1001</t>
        </is>
      </c>
      <c r="C2" s="10" t="n">
        <v>35</v>
      </c>
      <c r="D2" s="9" t="inlineStr">
        <is>
          <t>Recursos Humanos</t>
        </is>
      </c>
      <c r="E2" s="9" t="inlineStr">
        <is>
          <t>Analista de Selección</t>
        </is>
      </c>
      <c r="F2" s="11" t="n">
        <v>12000000</v>
      </c>
      <c r="G2" s="9" t="inlineStr">
        <is>
          <t>Presencial</t>
        </is>
      </c>
      <c r="H2" s="10" t="n">
        <v>29</v>
      </c>
      <c r="I2" s="10" t="n">
        <v>1</v>
      </c>
      <c r="J2" s="10" t="n">
        <v>3</v>
      </c>
      <c r="K2" s="10" t="n">
        <v>5</v>
      </c>
      <c r="L2" s="10" t="n">
        <v>3</v>
      </c>
      <c r="M2" s="10" t="n">
        <v>57</v>
      </c>
    </row>
    <row r="3">
      <c r="A3" s="12" t="inlineStr">
        <is>
          <t>1000001002</t>
        </is>
      </c>
      <c r="B3" s="12" t="inlineStr">
        <is>
          <t>Empleado_1002</t>
        </is>
      </c>
      <c r="C3" s="13" t="n">
        <v>44</v>
      </c>
      <c r="D3" s="12" t="inlineStr">
        <is>
          <t>Finanzas</t>
        </is>
      </c>
      <c r="E3" s="12" t="inlineStr">
        <is>
          <t>Contador</t>
        </is>
      </c>
      <c r="F3" s="14" t="n">
        <v>12000000</v>
      </c>
      <c r="G3" s="12" t="inlineStr">
        <is>
          <t>Híbrido</t>
        </is>
      </c>
      <c r="H3" s="13" t="n">
        <v>9</v>
      </c>
      <c r="I3" s="13" t="n">
        <v>3</v>
      </c>
      <c r="J3" s="13" t="n">
        <v>4</v>
      </c>
      <c r="K3" s="13" t="n">
        <v>6</v>
      </c>
      <c r="L3" s="13" t="n">
        <v>2</v>
      </c>
      <c r="M3" s="13" t="n">
        <v>80</v>
      </c>
    </row>
    <row r="4">
      <c r="A4" s="9" t="inlineStr">
        <is>
          <t>1000001003</t>
        </is>
      </c>
      <c r="B4" s="9" t="inlineStr">
        <is>
          <t>Empleado_1003</t>
        </is>
      </c>
      <c r="C4" s="10" t="n">
        <v>41</v>
      </c>
      <c r="D4" s="9" t="inlineStr">
        <is>
          <t>Finanzas</t>
        </is>
      </c>
      <c r="E4" s="9" t="inlineStr">
        <is>
          <t>Analista Financiero</t>
        </is>
      </c>
      <c r="F4" s="11" t="n">
        <v>3800000</v>
      </c>
      <c r="G4" s="9" t="inlineStr">
        <is>
          <t>Remoto</t>
        </is>
      </c>
      <c r="H4" s="10" t="n">
        <v>28</v>
      </c>
      <c r="I4" s="10" t="n">
        <v>4</v>
      </c>
      <c r="J4" s="10" t="n">
        <v>3</v>
      </c>
      <c r="K4" s="10" t="n">
        <v>4</v>
      </c>
      <c r="L4" s="10" t="n">
        <v>3</v>
      </c>
      <c r="M4" s="10" t="n">
        <v>72</v>
      </c>
    </row>
    <row r="5">
      <c r="A5" s="12" t="inlineStr">
        <is>
          <t>1000001004</t>
        </is>
      </c>
      <c r="B5" s="12" t="inlineStr">
        <is>
          <t>Empleado_1004</t>
        </is>
      </c>
      <c r="C5" s="13" t="n">
        <v>42</v>
      </c>
      <c r="D5" s="12" t="inlineStr">
        <is>
          <t>Recursos Humanos</t>
        </is>
      </c>
      <c r="E5" s="12" t="inlineStr">
        <is>
          <t>Analista de Selección</t>
        </is>
      </c>
      <c r="F5" s="14" t="n">
        <v>6000000</v>
      </c>
      <c r="G5" s="12" t="inlineStr">
        <is>
          <t>Remoto</t>
        </is>
      </c>
      <c r="H5" s="13" t="n">
        <v>22</v>
      </c>
      <c r="I5" s="13" t="n">
        <v>4</v>
      </c>
      <c r="J5" s="13" t="n">
        <v>5</v>
      </c>
      <c r="K5" s="13" t="n">
        <v>7</v>
      </c>
      <c r="L5" s="13" t="n">
        <v>1</v>
      </c>
      <c r="M5" s="13" t="n">
        <v>74</v>
      </c>
    </row>
    <row r="6">
      <c r="A6" s="9" t="inlineStr">
        <is>
          <t>1000001005</t>
        </is>
      </c>
      <c r="B6" s="9" t="inlineStr">
        <is>
          <t>Empleado_1005</t>
        </is>
      </c>
      <c r="C6" s="10" t="n">
        <v>33</v>
      </c>
      <c r="D6" s="9" t="inlineStr">
        <is>
          <t>Tecnología</t>
        </is>
      </c>
      <c r="E6" s="9" t="inlineStr">
        <is>
          <t>Analista de Datos</t>
        </is>
      </c>
      <c r="F6" s="11" t="n">
        <v>8500000</v>
      </c>
      <c r="G6" s="9" t="inlineStr">
        <is>
          <t>Presencial</t>
        </is>
      </c>
      <c r="H6" s="10" t="n">
        <v>23</v>
      </c>
      <c r="I6" s="10" t="n">
        <v>1</v>
      </c>
      <c r="J6" s="10" t="n">
        <v>3</v>
      </c>
      <c r="K6" s="10" t="n">
        <v>4</v>
      </c>
      <c r="L6" s="10" t="n">
        <v>1</v>
      </c>
      <c r="M6" s="10" t="n">
        <v>32</v>
      </c>
    </row>
    <row r="7">
      <c r="A7" s="12" t="inlineStr">
        <is>
          <t>1000001006</t>
        </is>
      </c>
      <c r="B7" s="12" t="inlineStr">
        <is>
          <t>Empleado_1006</t>
        </is>
      </c>
      <c r="C7" s="13" t="n">
        <v>24</v>
      </c>
      <c r="D7" s="12" t="inlineStr">
        <is>
          <t>Tecnología</t>
        </is>
      </c>
      <c r="E7" s="12" t="inlineStr">
        <is>
          <t>Desarrollador Junior</t>
        </is>
      </c>
      <c r="F7" s="14" t="n">
        <v>6000000</v>
      </c>
      <c r="G7" s="12" t="inlineStr">
        <is>
          <t>Híbrido</t>
        </is>
      </c>
      <c r="H7" s="13" t="n">
        <v>6</v>
      </c>
      <c r="I7" s="13" t="n">
        <v>4</v>
      </c>
      <c r="J7" s="13" t="n">
        <v>5</v>
      </c>
      <c r="K7" s="13" t="n">
        <v>3</v>
      </c>
      <c r="L7" s="13" t="n">
        <v>3</v>
      </c>
      <c r="M7" s="13" t="n">
        <v>101</v>
      </c>
    </row>
    <row r="8">
      <c r="A8" s="9" t="inlineStr">
        <is>
          <t>1000001007</t>
        </is>
      </c>
      <c r="B8" s="9" t="inlineStr">
        <is>
          <t>Empleado_1007</t>
        </is>
      </c>
      <c r="C8" s="10" t="n">
        <v>38</v>
      </c>
      <c r="D8" s="9" t="inlineStr">
        <is>
          <t>Ventas</t>
        </is>
      </c>
      <c r="E8" s="9" t="inlineStr">
        <is>
          <t>Director de Ventas</t>
        </is>
      </c>
      <c r="F8" s="11" t="n">
        <v>12000000</v>
      </c>
      <c r="G8" s="9" t="inlineStr">
        <is>
          <t>Remoto</t>
        </is>
      </c>
      <c r="H8" s="10" t="n">
        <v>2</v>
      </c>
      <c r="I8" s="10" t="n">
        <v>1</v>
      </c>
      <c r="J8" s="10" t="n">
        <v>5</v>
      </c>
      <c r="K8" s="10" t="n">
        <v>3</v>
      </c>
      <c r="L8" s="10" t="n">
        <v>1</v>
      </c>
      <c r="M8" s="10" t="n">
        <v>61</v>
      </c>
    </row>
    <row r="9">
      <c r="A9" s="12" t="inlineStr">
        <is>
          <t>1000001008</t>
        </is>
      </c>
      <c r="B9" s="12" t="inlineStr">
        <is>
          <t>Empleado_1008</t>
        </is>
      </c>
      <c r="C9" s="13" t="n">
        <v>52</v>
      </c>
      <c r="D9" s="12" t="inlineStr">
        <is>
          <t>Tecnología</t>
        </is>
      </c>
      <c r="E9" s="12" t="inlineStr">
        <is>
          <t>Desarrollador Junior</t>
        </is>
      </c>
      <c r="F9" s="14" t="n">
        <v>2500000</v>
      </c>
      <c r="G9" s="12" t="inlineStr">
        <is>
          <t>Híbrido</t>
        </is>
      </c>
      <c r="H9" s="13" t="n">
        <v>31</v>
      </c>
      <c r="I9" s="13" t="n">
        <v>2</v>
      </c>
      <c r="J9" s="13" t="n">
        <v>5</v>
      </c>
      <c r="K9" s="13" t="n">
        <v>8</v>
      </c>
      <c r="L9" s="13" t="n">
        <v>2</v>
      </c>
      <c r="M9" s="13" t="n">
        <v>65</v>
      </c>
    </row>
    <row r="10">
      <c r="A10" s="9" t="inlineStr">
        <is>
          <t>1000001009</t>
        </is>
      </c>
      <c r="B10" s="9" t="inlineStr">
        <is>
          <t>Empleado_1009</t>
        </is>
      </c>
      <c r="C10" s="10" t="n">
        <v>55</v>
      </c>
      <c r="D10" s="9" t="inlineStr">
        <is>
          <t>Operaciones</t>
        </is>
      </c>
      <c r="E10" s="9" t="inlineStr">
        <is>
          <t>Gerente de Planta</t>
        </is>
      </c>
      <c r="F10" s="11" t="n">
        <v>6000000</v>
      </c>
      <c r="G10" s="9" t="inlineStr">
        <is>
          <t>Remoto</t>
        </is>
      </c>
      <c r="H10" s="10" t="n">
        <v>12</v>
      </c>
      <c r="I10" s="10" t="n">
        <v>4</v>
      </c>
      <c r="J10" s="10" t="n">
        <v>5</v>
      </c>
      <c r="K10" s="10" t="n">
        <v>4</v>
      </c>
      <c r="L10" s="10" t="n">
        <v>1</v>
      </c>
      <c r="M10" s="10" t="n">
        <v>76</v>
      </c>
    </row>
    <row r="11">
      <c r="A11" s="12" t="inlineStr">
        <is>
          <t>1000001010</t>
        </is>
      </c>
      <c r="B11" s="12" t="inlineStr">
        <is>
          <t>Empleado_1010</t>
        </is>
      </c>
      <c r="C11" s="13" t="n">
        <v>56</v>
      </c>
      <c r="D11" s="12" t="inlineStr">
        <is>
          <t>Operaciones</t>
        </is>
      </c>
      <c r="E11" s="12" t="inlineStr">
        <is>
          <t>Gerente de Planta</t>
        </is>
      </c>
      <c r="F11" s="14" t="n">
        <v>3800000</v>
      </c>
      <c r="G11" s="12" t="inlineStr">
        <is>
          <t>Híbrido</t>
        </is>
      </c>
      <c r="H11" s="13" t="n">
        <v>19</v>
      </c>
      <c r="I11" s="13" t="n">
        <v>4</v>
      </c>
      <c r="J11" s="13" t="n">
        <v>2</v>
      </c>
      <c r="K11" s="13" t="n">
        <v>4</v>
      </c>
      <c r="L11" s="13" t="n">
        <v>1</v>
      </c>
      <c r="M11" s="13" t="n">
        <v>55</v>
      </c>
    </row>
    <row r="12">
      <c r="A12" s="9" t="inlineStr">
        <is>
          <t>1000001011</t>
        </is>
      </c>
      <c r="B12" s="9" t="inlineStr">
        <is>
          <t>Empleado_1011</t>
        </is>
      </c>
      <c r="C12" s="10" t="n">
        <v>43</v>
      </c>
      <c r="D12" s="9" t="inlineStr">
        <is>
          <t>Finanzas</t>
        </is>
      </c>
      <c r="E12" s="9" t="inlineStr">
        <is>
          <t>Analista Financiero</t>
        </is>
      </c>
      <c r="F12" s="11" t="n">
        <v>3800000</v>
      </c>
      <c r="G12" s="9" t="inlineStr">
        <is>
          <t>Presencial</t>
        </is>
      </c>
      <c r="H12" s="10" t="n">
        <v>11</v>
      </c>
      <c r="I12" s="10" t="n">
        <v>2</v>
      </c>
      <c r="J12" s="10" t="n">
        <v>5</v>
      </c>
      <c r="K12" s="10" t="n">
        <v>2</v>
      </c>
      <c r="L12" s="10" t="n">
        <v>1</v>
      </c>
      <c r="M12" s="10" t="n">
        <v>62</v>
      </c>
    </row>
    <row r="13">
      <c r="A13" s="12" t="inlineStr">
        <is>
          <t>1000001012</t>
        </is>
      </c>
      <c r="B13" s="12" t="inlineStr">
        <is>
          <t>Empleado_1012</t>
        </is>
      </c>
      <c r="C13" s="13" t="n">
        <v>49</v>
      </c>
      <c r="D13" s="12" t="inlineStr">
        <is>
          <t>Recursos Humanos</t>
        </is>
      </c>
      <c r="E13" s="12" t="inlineStr">
        <is>
          <t>Generalista RRHH</t>
        </is>
      </c>
      <c r="F13" s="14" t="n">
        <v>6000000</v>
      </c>
      <c r="G13" s="12" t="inlineStr">
        <is>
          <t>Remoto</t>
        </is>
      </c>
      <c r="H13" s="13" t="n">
        <v>28</v>
      </c>
      <c r="I13" s="13" t="n">
        <v>1</v>
      </c>
      <c r="J13" s="13" t="n">
        <v>3</v>
      </c>
      <c r="K13" s="13" t="n">
        <v>6</v>
      </c>
      <c r="L13" s="13" t="n">
        <v>3</v>
      </c>
      <c r="M13" s="13" t="n">
        <v>59</v>
      </c>
    </row>
    <row r="14">
      <c r="A14" s="9" t="inlineStr">
        <is>
          <t>1000001013</t>
        </is>
      </c>
      <c r="B14" s="9" t="inlineStr">
        <is>
          <t>Empleado_1013</t>
        </is>
      </c>
      <c r="C14" s="10" t="n">
        <v>24</v>
      </c>
      <c r="D14" s="9" t="inlineStr">
        <is>
          <t>Finanzas</t>
        </is>
      </c>
      <c r="E14" s="9" t="inlineStr">
        <is>
          <t>Contador</t>
        </is>
      </c>
      <c r="F14" s="11" t="n">
        <v>6000000</v>
      </c>
      <c r="G14" s="9" t="inlineStr">
        <is>
          <t>Remoto</t>
        </is>
      </c>
      <c r="H14" s="10" t="n">
        <v>2</v>
      </c>
      <c r="I14" s="10" t="n">
        <v>3</v>
      </c>
      <c r="J14" s="10" t="n">
        <v>4</v>
      </c>
      <c r="K14" s="10" t="n">
        <v>6</v>
      </c>
      <c r="L14" s="10" t="n">
        <v>3</v>
      </c>
      <c r="M14" s="10" t="n">
        <v>94</v>
      </c>
    </row>
    <row r="15">
      <c r="A15" s="12" t="inlineStr">
        <is>
          <t>1000001014</t>
        </is>
      </c>
      <c r="B15" s="12" t="inlineStr">
        <is>
          <t>Empleado_1014</t>
        </is>
      </c>
      <c r="C15" s="13" t="n">
        <v>57</v>
      </c>
      <c r="D15" s="12" t="inlineStr">
        <is>
          <t>Finanzas</t>
        </is>
      </c>
      <c r="E15" s="12" t="inlineStr">
        <is>
          <t>Analista Financiero</t>
        </is>
      </c>
      <c r="F15" s="14" t="n">
        <v>6000000</v>
      </c>
      <c r="G15" s="12" t="inlineStr">
        <is>
          <t>Híbrido</t>
        </is>
      </c>
      <c r="H15" s="13" t="n">
        <v>16</v>
      </c>
      <c r="I15" s="13" t="n">
        <v>3</v>
      </c>
      <c r="J15" s="13" t="n">
        <v>5</v>
      </c>
      <c r="K15" s="13" t="n">
        <v>7</v>
      </c>
      <c r="L15" s="13" t="n">
        <v>0</v>
      </c>
      <c r="M15" s="13" t="n">
        <v>57</v>
      </c>
    </row>
    <row r="16">
      <c r="A16" s="9" t="inlineStr">
        <is>
          <t>1000001015</t>
        </is>
      </c>
      <c r="B16" s="9" t="inlineStr">
        <is>
          <t>Empleado_1015</t>
        </is>
      </c>
      <c r="C16" s="10" t="n">
        <v>48</v>
      </c>
      <c r="D16" s="9" t="inlineStr">
        <is>
          <t>Ventas</t>
        </is>
      </c>
      <c r="E16" s="9" t="inlineStr">
        <is>
          <t>Asesor Comercial</t>
        </is>
      </c>
      <c r="F16" s="11" t="n">
        <v>3800000</v>
      </c>
      <c r="G16" s="9" t="inlineStr">
        <is>
          <t>Presencial</t>
        </is>
      </c>
      <c r="H16" s="10" t="n">
        <v>3</v>
      </c>
      <c r="I16" s="10" t="n">
        <v>4</v>
      </c>
      <c r="J16" s="10" t="n">
        <v>2</v>
      </c>
      <c r="K16" s="10" t="n">
        <v>1</v>
      </c>
      <c r="L16" s="10" t="n">
        <v>3</v>
      </c>
      <c r="M16" s="10" t="n">
        <v>85</v>
      </c>
    </row>
    <row r="17">
      <c r="A17" s="12" t="inlineStr">
        <is>
          <t>1000001016</t>
        </is>
      </c>
      <c r="B17" s="12" t="inlineStr">
        <is>
          <t>Empleado_1016</t>
        </is>
      </c>
      <c r="C17" s="13" t="n">
        <v>34</v>
      </c>
      <c r="D17" s="12" t="inlineStr">
        <is>
          <t>Tecnología</t>
        </is>
      </c>
      <c r="E17" s="12" t="inlineStr">
        <is>
          <t>Analista de Datos</t>
        </is>
      </c>
      <c r="F17" s="14" t="n">
        <v>6000000</v>
      </c>
      <c r="G17" s="12" t="inlineStr">
        <is>
          <t>Híbrido</t>
        </is>
      </c>
      <c r="H17" s="13" t="n">
        <v>22</v>
      </c>
      <c r="I17" s="13" t="n">
        <v>2</v>
      </c>
      <c r="J17" s="13" t="n">
        <v>5</v>
      </c>
      <c r="K17" s="13" t="n">
        <v>5</v>
      </c>
      <c r="L17" s="13" t="n">
        <v>2</v>
      </c>
      <c r="M17" s="13" t="n">
        <v>65</v>
      </c>
    </row>
    <row r="18">
      <c r="A18" s="9" t="inlineStr">
        <is>
          <t>1000001017</t>
        </is>
      </c>
      <c r="B18" s="9" t="inlineStr">
        <is>
          <t>Empleado_1017</t>
        </is>
      </c>
      <c r="C18" s="10" t="n">
        <v>49</v>
      </c>
      <c r="D18" s="9" t="inlineStr">
        <is>
          <t>Recursos Humanos</t>
        </is>
      </c>
      <c r="E18" s="9" t="inlineStr">
        <is>
          <t>Analista de Selección</t>
        </is>
      </c>
      <c r="F18" s="11" t="n">
        <v>6000000</v>
      </c>
      <c r="G18" s="9" t="inlineStr">
        <is>
          <t>Remoto</t>
        </is>
      </c>
      <c r="H18" s="10" t="n">
        <v>3</v>
      </c>
      <c r="I18" s="10" t="n">
        <v>5</v>
      </c>
      <c r="J18" s="10" t="n">
        <v>2</v>
      </c>
      <c r="K18" s="10" t="n">
        <v>5</v>
      </c>
      <c r="L18" s="10" t="n">
        <v>1</v>
      </c>
      <c r="M18" s="10" t="n">
        <v>67</v>
      </c>
    </row>
    <row r="19">
      <c r="A19" s="12" t="inlineStr">
        <is>
          <t>1000001018</t>
        </is>
      </c>
      <c r="B19" s="12" t="inlineStr">
        <is>
          <t>Empleado_1018</t>
        </is>
      </c>
      <c r="C19" s="13" t="n">
        <v>25</v>
      </c>
      <c r="D19" s="12" t="inlineStr">
        <is>
          <t>Tecnología</t>
        </is>
      </c>
      <c r="E19" s="12" t="inlineStr">
        <is>
          <t>Desarrollador Junior</t>
        </is>
      </c>
      <c r="F19" s="14" t="n">
        <v>3800000</v>
      </c>
      <c r="G19" s="12" t="inlineStr">
        <is>
          <t>Híbrido</t>
        </is>
      </c>
      <c r="H19" s="13" t="n">
        <v>3</v>
      </c>
      <c r="I19" s="13" t="n">
        <v>5</v>
      </c>
      <c r="J19" s="13" t="n">
        <v>3</v>
      </c>
      <c r="K19" s="13" t="n">
        <v>3</v>
      </c>
      <c r="L19" s="13" t="n">
        <v>1</v>
      </c>
      <c r="M19" s="13" t="n">
        <v>82</v>
      </c>
    </row>
    <row r="20">
      <c r="A20" s="9" t="inlineStr">
        <is>
          <t>1000001019</t>
        </is>
      </c>
      <c r="B20" s="9" t="inlineStr">
        <is>
          <t>Empleado_1019</t>
        </is>
      </c>
      <c r="C20" s="10" t="n">
        <v>30</v>
      </c>
      <c r="D20" s="9" t="inlineStr">
        <is>
          <t>Finanzas</t>
        </is>
      </c>
      <c r="E20" s="9" t="inlineStr">
        <is>
          <t>Analista Financiero</t>
        </is>
      </c>
      <c r="F20" s="11" t="n">
        <v>6000000</v>
      </c>
      <c r="G20" s="9" t="inlineStr">
        <is>
          <t>Híbrido</t>
        </is>
      </c>
      <c r="H20" s="10" t="n">
        <v>18</v>
      </c>
      <c r="I20" s="10" t="n">
        <v>3</v>
      </c>
      <c r="J20" s="10" t="n">
        <v>3</v>
      </c>
      <c r="K20" s="10" t="n">
        <v>1</v>
      </c>
      <c r="L20" s="10" t="n">
        <v>1</v>
      </c>
      <c r="M20" s="10" t="n">
        <v>50</v>
      </c>
    </row>
    <row r="21">
      <c r="A21" s="12" t="inlineStr">
        <is>
          <t>1000001020</t>
        </is>
      </c>
      <c r="B21" s="12" t="inlineStr">
        <is>
          <t>Empleado_1020</t>
        </is>
      </c>
      <c r="C21" s="13" t="n">
        <v>24</v>
      </c>
      <c r="D21" s="12" t="inlineStr">
        <is>
          <t>Recursos Humanos</t>
        </is>
      </c>
      <c r="E21" s="12" t="inlineStr">
        <is>
          <t>Generalista RRHH</t>
        </is>
      </c>
      <c r="F21" s="14" t="n">
        <v>12000000</v>
      </c>
      <c r="G21" s="12" t="inlineStr">
        <is>
          <t>Presencial</t>
        </is>
      </c>
      <c r="H21" s="13" t="n">
        <v>26</v>
      </c>
      <c r="I21" s="13" t="n">
        <v>4</v>
      </c>
      <c r="J21" s="13" t="n">
        <v>3</v>
      </c>
      <c r="K21" s="13" t="n">
        <v>1</v>
      </c>
      <c r="L21" s="13" t="n">
        <v>1</v>
      </c>
      <c r="M21" s="13" t="n">
        <v>64</v>
      </c>
    </row>
    <row r="22">
      <c r="A22" s="9" t="inlineStr">
        <is>
          <t>1000001021</t>
        </is>
      </c>
      <c r="B22" s="9" t="inlineStr">
        <is>
          <t>Empleado_1021</t>
        </is>
      </c>
      <c r="C22" s="10" t="n">
        <v>42</v>
      </c>
      <c r="D22" s="9" t="inlineStr">
        <is>
          <t>Finanzas</t>
        </is>
      </c>
      <c r="E22" s="9" t="inlineStr">
        <is>
          <t>Analista Financiero</t>
        </is>
      </c>
      <c r="F22" s="11" t="n">
        <v>8500000</v>
      </c>
      <c r="G22" s="9" t="inlineStr">
        <is>
          <t>Remoto</t>
        </is>
      </c>
      <c r="H22" s="10" t="n">
        <v>4</v>
      </c>
      <c r="I22" s="10" t="n">
        <v>3</v>
      </c>
      <c r="J22" s="10" t="n">
        <v>5</v>
      </c>
      <c r="K22" s="10" t="n">
        <v>5</v>
      </c>
      <c r="L22" s="10" t="n">
        <v>0</v>
      </c>
      <c r="M22" s="10" t="n">
        <v>68</v>
      </c>
    </row>
    <row r="23">
      <c r="A23" s="12" t="inlineStr">
        <is>
          <t>1000001022</t>
        </is>
      </c>
      <c r="B23" s="12" t="inlineStr">
        <is>
          <t>Empleado_1022</t>
        </is>
      </c>
      <c r="C23" s="13" t="n">
        <v>44</v>
      </c>
      <c r="D23" s="12" t="inlineStr">
        <is>
          <t>Tecnología</t>
        </is>
      </c>
      <c r="E23" s="12" t="inlineStr">
        <is>
          <t>Líder Técnico</t>
        </is>
      </c>
      <c r="F23" s="14" t="n">
        <v>6000000</v>
      </c>
      <c r="G23" s="12" t="inlineStr">
        <is>
          <t>Híbrido</t>
        </is>
      </c>
      <c r="H23" s="13" t="n">
        <v>8</v>
      </c>
      <c r="I23" s="13" t="n">
        <v>4</v>
      </c>
      <c r="J23" s="13" t="n">
        <v>4</v>
      </c>
      <c r="K23" s="13" t="n">
        <v>7</v>
      </c>
      <c r="L23" s="13" t="n">
        <v>1</v>
      </c>
      <c r="M23" s="13" t="n">
        <v>70</v>
      </c>
    </row>
    <row r="24">
      <c r="A24" s="9" t="inlineStr">
        <is>
          <t>1000001023</t>
        </is>
      </c>
      <c r="B24" s="9" t="inlineStr">
        <is>
          <t>Empleado_1023</t>
        </is>
      </c>
      <c r="C24" s="10" t="n">
        <v>56</v>
      </c>
      <c r="D24" s="9" t="inlineStr">
        <is>
          <t>Recursos Humanos</t>
        </is>
      </c>
      <c r="E24" s="9" t="inlineStr">
        <is>
          <t>Generalista RRHH</t>
        </is>
      </c>
      <c r="F24" s="11" t="n">
        <v>8500000</v>
      </c>
      <c r="G24" s="9" t="inlineStr">
        <is>
          <t>Presencial</t>
        </is>
      </c>
      <c r="H24" s="10" t="n">
        <v>32</v>
      </c>
      <c r="I24" s="10" t="n">
        <v>4</v>
      </c>
      <c r="J24" s="10" t="n">
        <v>5</v>
      </c>
      <c r="K24" s="10" t="n">
        <v>4</v>
      </c>
      <c r="L24" s="10" t="n">
        <v>2</v>
      </c>
      <c r="M24" s="10" t="n">
        <v>73</v>
      </c>
    </row>
    <row r="25">
      <c r="A25" s="12" t="inlineStr">
        <is>
          <t>1000001024</t>
        </is>
      </c>
      <c r="B25" s="12" t="inlineStr">
        <is>
          <t>Empleado_1024</t>
        </is>
      </c>
      <c r="C25" s="13" t="n">
        <v>40</v>
      </c>
      <c r="D25" s="12" t="inlineStr">
        <is>
          <t>Operaciones</t>
        </is>
      </c>
      <c r="E25" s="12" t="inlineStr">
        <is>
          <t>Coordinador Logístico</t>
        </is>
      </c>
      <c r="F25" s="14" t="n">
        <v>6000000</v>
      </c>
      <c r="G25" s="12" t="inlineStr">
        <is>
          <t>Presencial</t>
        </is>
      </c>
      <c r="H25" s="13" t="n">
        <v>26</v>
      </c>
      <c r="I25" s="13" t="n">
        <v>3</v>
      </c>
      <c r="J25" s="13" t="n">
        <v>2</v>
      </c>
      <c r="K25" s="13" t="n">
        <v>7</v>
      </c>
      <c r="L25" s="13" t="n">
        <v>2</v>
      </c>
      <c r="M25" s="13" t="n">
        <v>56</v>
      </c>
    </row>
    <row r="26">
      <c r="A26" s="9" t="inlineStr">
        <is>
          <t>1000001025</t>
        </is>
      </c>
      <c r="B26" s="9" t="inlineStr">
        <is>
          <t>Empleado_1025</t>
        </is>
      </c>
      <c r="C26" s="10" t="n">
        <v>36</v>
      </c>
      <c r="D26" s="9" t="inlineStr">
        <is>
          <t>Recursos Humanos</t>
        </is>
      </c>
      <c r="E26" s="9" t="inlineStr">
        <is>
          <t>Especialista de Bienestar</t>
        </is>
      </c>
      <c r="F26" s="11" t="n">
        <v>4500000</v>
      </c>
      <c r="G26" s="9" t="inlineStr">
        <is>
          <t>Remoto</t>
        </is>
      </c>
      <c r="H26" s="10" t="n">
        <v>19</v>
      </c>
      <c r="I26" s="10" t="n">
        <v>5</v>
      </c>
      <c r="J26" s="10" t="n">
        <v>4</v>
      </c>
      <c r="K26" s="10" t="n">
        <v>8</v>
      </c>
      <c r="L26" s="10" t="n">
        <v>0</v>
      </c>
      <c r="M26" s="10" t="n">
        <v>63</v>
      </c>
    </row>
    <row r="27">
      <c r="A27" s="12" t="inlineStr">
        <is>
          <t>1000001026</t>
        </is>
      </c>
      <c r="B27" s="12" t="inlineStr">
        <is>
          <t>Empleado_1026</t>
        </is>
      </c>
      <c r="C27" s="13" t="n">
        <v>28</v>
      </c>
      <c r="D27" s="12" t="inlineStr">
        <is>
          <t>Ventas</t>
        </is>
      </c>
      <c r="E27" s="12" t="inlineStr">
        <is>
          <t>Director de Ventas</t>
        </is>
      </c>
      <c r="F27" s="14" t="n">
        <v>6000000</v>
      </c>
      <c r="G27" s="12" t="inlineStr">
        <is>
          <t>Híbrido</t>
        </is>
      </c>
      <c r="H27" s="13" t="n">
        <v>33</v>
      </c>
      <c r="I27" s="13" t="n">
        <v>5</v>
      </c>
      <c r="J27" s="13" t="n">
        <v>3</v>
      </c>
      <c r="K27" s="13" t="n">
        <v>7</v>
      </c>
      <c r="L27" s="13" t="n">
        <v>3</v>
      </c>
      <c r="M27" s="13" t="n">
        <v>89</v>
      </c>
    </row>
    <row r="28">
      <c r="A28" s="9" t="inlineStr">
        <is>
          <t>1000001027</t>
        </is>
      </c>
      <c r="B28" s="9" t="inlineStr">
        <is>
          <t>Empleado_1027</t>
        </is>
      </c>
      <c r="C28" s="10" t="n">
        <v>24</v>
      </c>
      <c r="D28" s="9" t="inlineStr">
        <is>
          <t>Tecnología</t>
        </is>
      </c>
      <c r="E28" s="9" t="inlineStr">
        <is>
          <t>Analista de Datos</t>
        </is>
      </c>
      <c r="F28" s="11" t="n">
        <v>3800000</v>
      </c>
      <c r="G28" s="9" t="inlineStr">
        <is>
          <t>Remoto</t>
        </is>
      </c>
      <c r="H28" s="10" t="n">
        <v>27</v>
      </c>
      <c r="I28" s="10" t="n">
        <v>2</v>
      </c>
      <c r="J28" s="10" t="n">
        <v>4</v>
      </c>
      <c r="K28" s="10" t="n">
        <v>5</v>
      </c>
      <c r="L28" s="10" t="n">
        <v>3</v>
      </c>
      <c r="M28" s="10" t="n">
        <v>70</v>
      </c>
    </row>
    <row r="29">
      <c r="A29" s="12" t="inlineStr">
        <is>
          <t>1000001028</t>
        </is>
      </c>
      <c r="B29" s="12" t="inlineStr">
        <is>
          <t>Empleado_1028</t>
        </is>
      </c>
      <c r="C29" s="13" t="n">
        <v>45</v>
      </c>
      <c r="D29" s="12" t="inlineStr">
        <is>
          <t>Operaciones</t>
        </is>
      </c>
      <c r="E29" s="12" t="inlineStr">
        <is>
          <t>Gerente de Planta</t>
        </is>
      </c>
      <c r="F29" s="14" t="n">
        <v>8500000</v>
      </c>
      <c r="G29" s="12" t="inlineStr">
        <is>
          <t>Híbrido</t>
        </is>
      </c>
      <c r="H29" s="13" t="n">
        <v>23</v>
      </c>
      <c r="I29" s="13" t="n">
        <v>3</v>
      </c>
      <c r="J29" s="13" t="n">
        <v>5</v>
      </c>
      <c r="K29" s="13" t="n">
        <v>4</v>
      </c>
      <c r="L29" s="13" t="n">
        <v>2</v>
      </c>
      <c r="M29" s="13" t="n">
        <v>71</v>
      </c>
    </row>
    <row r="30">
      <c r="A30" s="9" t="inlineStr">
        <is>
          <t>1000001029</t>
        </is>
      </c>
      <c r="B30" s="9" t="inlineStr">
        <is>
          <t>Empleado_1029</t>
        </is>
      </c>
      <c r="C30" s="10" t="n">
        <v>30</v>
      </c>
      <c r="D30" s="9" t="inlineStr">
        <is>
          <t>Ventas</t>
        </is>
      </c>
      <c r="E30" s="9" t="inlineStr">
        <is>
          <t>Asesor Comercial</t>
        </is>
      </c>
      <c r="F30" s="11" t="n">
        <v>2500000</v>
      </c>
      <c r="G30" s="9" t="inlineStr">
        <is>
          <t>Remoto</t>
        </is>
      </c>
      <c r="H30" s="10" t="n">
        <v>13</v>
      </c>
      <c r="I30" s="10" t="n">
        <v>2</v>
      </c>
      <c r="J30" s="10" t="n">
        <v>3</v>
      </c>
      <c r="K30" s="10" t="n">
        <v>7</v>
      </c>
      <c r="L30" s="10" t="n">
        <v>2</v>
      </c>
      <c r="M30" s="10" t="n">
        <v>62</v>
      </c>
    </row>
    <row r="31">
      <c r="A31" s="12" t="inlineStr">
        <is>
          <t>1000001030</t>
        </is>
      </c>
      <c r="B31" s="12" t="inlineStr">
        <is>
          <t>Empleado_1030</t>
        </is>
      </c>
      <c r="C31" s="13" t="n">
        <v>56</v>
      </c>
      <c r="D31" s="12" t="inlineStr">
        <is>
          <t>Finanzas</t>
        </is>
      </c>
      <c r="E31" s="12" t="inlineStr">
        <is>
          <t>Contador</t>
        </is>
      </c>
      <c r="F31" s="14" t="n">
        <v>2500000</v>
      </c>
      <c r="G31" s="12" t="inlineStr">
        <is>
          <t>Híbrido</t>
        </is>
      </c>
      <c r="H31" s="13" t="n">
        <v>14</v>
      </c>
      <c r="I31" s="13" t="n">
        <v>3</v>
      </c>
      <c r="J31" s="13" t="n">
        <v>3</v>
      </c>
      <c r="K31" s="13" t="n">
        <v>5</v>
      </c>
      <c r="L31" s="13" t="n">
        <v>1</v>
      </c>
      <c r="M31" s="13" t="n">
        <v>51</v>
      </c>
    </row>
    <row r="32">
      <c r="A32" s="9" t="inlineStr">
        <is>
          <t>1000001031</t>
        </is>
      </c>
      <c r="B32" s="9" t="inlineStr">
        <is>
          <t>Empleado_1031</t>
        </is>
      </c>
      <c r="C32" s="10" t="n">
        <v>57</v>
      </c>
      <c r="D32" s="9" t="inlineStr">
        <is>
          <t>Ventas</t>
        </is>
      </c>
      <c r="E32" s="9" t="inlineStr">
        <is>
          <t>Asesor Comercial</t>
        </is>
      </c>
      <c r="F32" s="11" t="n">
        <v>2500000</v>
      </c>
      <c r="G32" s="9" t="inlineStr">
        <is>
          <t>Presencial</t>
        </is>
      </c>
      <c r="H32" s="10" t="n">
        <v>5</v>
      </c>
      <c r="I32" s="10" t="n">
        <v>5</v>
      </c>
      <c r="J32" s="10" t="n">
        <v>4</v>
      </c>
      <c r="K32" s="10" t="n">
        <v>2</v>
      </c>
      <c r="L32" s="10" t="n">
        <v>3</v>
      </c>
      <c r="M32" s="10" t="n">
        <v>97</v>
      </c>
    </row>
    <row r="33">
      <c r="A33" s="12" t="inlineStr">
        <is>
          <t>1000001032</t>
        </is>
      </c>
      <c r="B33" s="12" t="inlineStr">
        <is>
          <t>Empleado_1032</t>
        </is>
      </c>
      <c r="C33" s="13" t="n">
        <v>41</v>
      </c>
      <c r="D33" s="12" t="inlineStr">
        <is>
          <t>Operaciones</t>
        </is>
      </c>
      <c r="E33" s="12" t="inlineStr">
        <is>
          <t>Analista de Operaciones</t>
        </is>
      </c>
      <c r="F33" s="14" t="n">
        <v>6000000</v>
      </c>
      <c r="G33" s="12" t="inlineStr">
        <is>
          <t>Presencial</t>
        </is>
      </c>
      <c r="H33" s="13" t="n">
        <v>23</v>
      </c>
      <c r="I33" s="13" t="n">
        <v>2</v>
      </c>
      <c r="J33" s="13" t="n">
        <v>2</v>
      </c>
      <c r="K33" s="13" t="n">
        <v>4</v>
      </c>
      <c r="L33" s="13" t="n">
        <v>3</v>
      </c>
      <c r="M33" s="13" t="n">
        <v>53</v>
      </c>
    </row>
    <row r="34">
      <c r="A34" s="9" t="inlineStr">
        <is>
          <t>1000001033</t>
        </is>
      </c>
      <c r="B34" s="9" t="inlineStr">
        <is>
          <t>Empleado_1033</t>
        </is>
      </c>
      <c r="C34" s="10" t="n">
        <v>48</v>
      </c>
      <c r="D34" s="9" t="inlineStr">
        <is>
          <t>Operaciones</t>
        </is>
      </c>
      <c r="E34" s="9" t="inlineStr">
        <is>
          <t>Coordinador Logístico</t>
        </is>
      </c>
      <c r="F34" s="11" t="n">
        <v>8500000</v>
      </c>
      <c r="G34" s="9" t="inlineStr">
        <is>
          <t>Presencial</t>
        </is>
      </c>
      <c r="H34" s="10" t="n">
        <v>5</v>
      </c>
      <c r="I34" s="10" t="n">
        <v>2</v>
      </c>
      <c r="J34" s="10" t="n">
        <v>3</v>
      </c>
      <c r="K34" s="10" t="n">
        <v>4</v>
      </c>
      <c r="L34" s="10" t="n">
        <v>0</v>
      </c>
      <c r="M34" s="10" t="n">
        <v>38</v>
      </c>
    </row>
    <row r="35">
      <c r="A35" s="12" t="inlineStr">
        <is>
          <t>1000001034</t>
        </is>
      </c>
      <c r="B35" s="12" t="inlineStr">
        <is>
          <t>Empleado_1034</t>
        </is>
      </c>
      <c r="C35" s="13" t="n">
        <v>58</v>
      </c>
      <c r="D35" s="12" t="inlineStr">
        <is>
          <t>Operaciones</t>
        </is>
      </c>
      <c r="E35" s="12" t="inlineStr">
        <is>
          <t>Gerente de Planta</t>
        </is>
      </c>
      <c r="F35" s="14" t="n">
        <v>8500000</v>
      </c>
      <c r="G35" s="12" t="inlineStr">
        <is>
          <t>Híbrido</t>
        </is>
      </c>
      <c r="H35" s="13" t="n">
        <v>16</v>
      </c>
      <c r="I35" s="13" t="n">
        <v>5</v>
      </c>
      <c r="J35" s="13" t="n">
        <v>5</v>
      </c>
      <c r="K35" s="13" t="n">
        <v>7</v>
      </c>
      <c r="L35" s="13" t="n">
        <v>3</v>
      </c>
      <c r="M35" s="13" t="n">
        <v>107</v>
      </c>
    </row>
    <row r="36">
      <c r="A36" s="9" t="inlineStr">
        <is>
          <t>1000001035</t>
        </is>
      </c>
      <c r="B36" s="9" t="inlineStr">
        <is>
          <t>Empleado_1035</t>
        </is>
      </c>
      <c r="C36" s="10" t="n">
        <v>50</v>
      </c>
      <c r="D36" s="9" t="inlineStr">
        <is>
          <t>Recursos Humanos</t>
        </is>
      </c>
      <c r="E36" s="9" t="inlineStr">
        <is>
          <t>Generalista RRHH</t>
        </is>
      </c>
      <c r="F36" s="11" t="n">
        <v>8500000</v>
      </c>
      <c r="G36" s="9" t="inlineStr">
        <is>
          <t>Híbrido</t>
        </is>
      </c>
      <c r="H36" s="10" t="n">
        <v>5</v>
      </c>
      <c r="I36" s="10" t="n">
        <v>5</v>
      </c>
      <c r="J36" s="10" t="n">
        <v>2</v>
      </c>
      <c r="K36" s="10" t="n">
        <v>3</v>
      </c>
      <c r="L36" s="10" t="n">
        <v>1</v>
      </c>
      <c r="M36" s="10" t="n">
        <v>75</v>
      </c>
    </row>
    <row r="37">
      <c r="A37" s="12" t="inlineStr">
        <is>
          <t>1000001036</t>
        </is>
      </c>
      <c r="B37" s="12" t="inlineStr">
        <is>
          <t>Empleado_1036</t>
        </is>
      </c>
      <c r="C37" s="13" t="n">
        <v>28</v>
      </c>
      <c r="D37" s="12" t="inlineStr">
        <is>
          <t>Ventas</t>
        </is>
      </c>
      <c r="E37" s="12" t="inlineStr">
        <is>
          <t>Ejecutivo de Cuenta</t>
        </is>
      </c>
      <c r="F37" s="14" t="n">
        <v>3800000</v>
      </c>
      <c r="G37" s="12" t="inlineStr">
        <is>
          <t>Remoto</t>
        </is>
      </c>
      <c r="H37" s="13" t="n">
        <v>6</v>
      </c>
      <c r="I37" s="13" t="n">
        <v>2</v>
      </c>
      <c r="J37" s="13" t="n">
        <v>2</v>
      </c>
      <c r="K37" s="13" t="n">
        <v>6</v>
      </c>
      <c r="L37" s="13" t="n">
        <v>3</v>
      </c>
      <c r="M37" s="13" t="n">
        <v>70</v>
      </c>
    </row>
    <row r="38">
      <c r="A38" s="9" t="inlineStr">
        <is>
          <t>1000001037</t>
        </is>
      </c>
      <c r="B38" s="9" t="inlineStr">
        <is>
          <t>Empleado_1037</t>
        </is>
      </c>
      <c r="C38" s="10" t="n">
        <v>53</v>
      </c>
      <c r="D38" s="9" t="inlineStr">
        <is>
          <t>Recursos Humanos</t>
        </is>
      </c>
      <c r="E38" s="9" t="inlineStr">
        <is>
          <t>Analista de Selección</t>
        </is>
      </c>
      <c r="F38" s="11" t="n">
        <v>3800000</v>
      </c>
      <c r="G38" s="9" t="inlineStr">
        <is>
          <t>Híbrido</t>
        </is>
      </c>
      <c r="H38" s="10" t="n">
        <v>20</v>
      </c>
      <c r="I38" s="10" t="n">
        <v>3</v>
      </c>
      <c r="J38" s="10" t="n">
        <v>5</v>
      </c>
      <c r="K38" s="10" t="n">
        <v>1</v>
      </c>
      <c r="L38" s="10" t="n">
        <v>1</v>
      </c>
      <c r="M38" s="10" t="n">
        <v>72</v>
      </c>
    </row>
    <row r="39">
      <c r="A39" s="12" t="inlineStr">
        <is>
          <t>1000001038</t>
        </is>
      </c>
      <c r="B39" s="12" t="inlineStr">
        <is>
          <t>Empleado_1038</t>
        </is>
      </c>
      <c r="C39" s="13" t="n">
        <v>35</v>
      </c>
      <c r="D39" s="12" t="inlineStr">
        <is>
          <t>Operaciones</t>
        </is>
      </c>
      <c r="E39" s="12" t="inlineStr">
        <is>
          <t>Coordinador Logístico</t>
        </is>
      </c>
      <c r="F39" s="14" t="n">
        <v>8500000</v>
      </c>
      <c r="G39" s="12" t="inlineStr">
        <is>
          <t>Presencial</t>
        </is>
      </c>
      <c r="H39" s="13" t="n">
        <v>16</v>
      </c>
      <c r="I39" s="13" t="n">
        <v>2</v>
      </c>
      <c r="J39" s="13" t="n">
        <v>4</v>
      </c>
      <c r="K39" s="13" t="n">
        <v>2</v>
      </c>
      <c r="L39" s="13" t="n">
        <v>0</v>
      </c>
      <c r="M39" s="13" t="n">
        <v>40</v>
      </c>
    </row>
    <row r="40">
      <c r="A40" s="9" t="inlineStr">
        <is>
          <t>1000001039</t>
        </is>
      </c>
      <c r="B40" s="9" t="inlineStr">
        <is>
          <t>Empleado_1039</t>
        </is>
      </c>
      <c r="C40" s="10" t="n">
        <v>42</v>
      </c>
      <c r="D40" s="9" t="inlineStr">
        <is>
          <t>Finanzas</t>
        </is>
      </c>
      <c r="E40" s="9" t="inlineStr">
        <is>
          <t>Jefe de Tesorería</t>
        </is>
      </c>
      <c r="F40" s="11" t="n">
        <v>8500000</v>
      </c>
      <c r="G40" s="9" t="inlineStr">
        <is>
          <t>Remoto</t>
        </is>
      </c>
      <c r="H40" s="10" t="n">
        <v>20</v>
      </c>
      <c r="I40" s="10" t="n">
        <v>4</v>
      </c>
      <c r="J40" s="10" t="n">
        <v>2</v>
      </c>
      <c r="K40" s="10" t="n">
        <v>7</v>
      </c>
      <c r="L40" s="10" t="n">
        <v>2</v>
      </c>
      <c r="M40" s="10" t="n">
        <v>66</v>
      </c>
    </row>
    <row r="41">
      <c r="A41" s="12" t="inlineStr">
        <is>
          <t>1000001040</t>
        </is>
      </c>
      <c r="B41" s="12" t="inlineStr">
        <is>
          <t>Empleado_1040</t>
        </is>
      </c>
      <c r="C41" s="13" t="n">
        <v>40</v>
      </c>
      <c r="D41" s="12" t="inlineStr">
        <is>
          <t>Finanzas</t>
        </is>
      </c>
      <c r="E41" s="12" t="inlineStr">
        <is>
          <t>Jefe de Tesorería</t>
        </is>
      </c>
      <c r="F41" s="14" t="n">
        <v>6000000</v>
      </c>
      <c r="G41" s="12" t="inlineStr">
        <is>
          <t>Remoto</t>
        </is>
      </c>
      <c r="H41" s="13" t="n">
        <v>30</v>
      </c>
      <c r="I41" s="13" t="n">
        <v>1</v>
      </c>
      <c r="J41" s="13" t="n">
        <v>2</v>
      </c>
      <c r="K41" s="13" t="n">
        <v>6</v>
      </c>
      <c r="L41" s="13" t="n">
        <v>2</v>
      </c>
      <c r="M41" s="13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15" t="inlineStr">
        <is>
          <t>Fase CRISP-DM</t>
        </is>
      </c>
      <c r="B1" s="15" t="inlineStr">
        <is>
          <t>Descripción Aplicada a la Predicción de Permanencia / Retención</t>
        </is>
      </c>
    </row>
    <row r="2">
      <c r="A2" s="16" t="inlineStr">
        <is>
          <t>1. Comprensión del Negocio (Business Understanding)</t>
        </is>
      </c>
      <c r="B2" s="17" t="inlineStr">
        <is>
          <t>Identificar las causas de la rotación de personal (turnover) y predecir cuántos meses durará un empleado en la empresa para optimizar planes de carrera, reducir costos de contratación y retener talento clave.</t>
        </is>
      </c>
    </row>
    <row r="3">
      <c r="A3" s="16" t="inlineStr">
        <is>
          <t>2. Comprensión de los Datos (Data Understanding)</t>
        </is>
      </c>
      <c r="B3" s="17" t="inlineStr">
        <is>
          <t>Recolectar variables clave del empleado: edad, salario, departamento, distancia a la oficina, satisfacción laboral, desempeño, capacitaciones e historial de promociones.</t>
        </is>
      </c>
    </row>
    <row r="4">
      <c r="A4" s="16" t="inlineStr">
        <is>
          <t>3. Preparación de los Datos (Data Preparation)</t>
        </is>
      </c>
      <c r="B4" s="17" t="inlineStr">
        <is>
          <t>Limpieza y consolidación de lotes de datos (Lote 1 + Lote 2). Tratamiento de valores nulos, estandarización de salarios y codificación de variables categóricas (como Modalidad o Departamento).</t>
        </is>
      </c>
    </row>
    <row r="5">
      <c r="A5" s="16" t="inlineStr">
        <is>
          <t>4. Modelado (Modeling)</t>
        </is>
      </c>
      <c r="B5" s="17" t="inlineStr">
        <is>
          <t>Aplicar algoritmos de analítica predictiva o Machine Learning (ej. Regresión Lineal/Random Forest o Análisis de Supervivencia/Kaplan-Meier) utilizando las variables independientes para predecir la variable objetivo ('Tiempo Permanencia').</t>
        </is>
      </c>
    </row>
    <row r="6">
      <c r="A6" s="16" t="inlineStr">
        <is>
          <t>5. Evaluación (Evaluation)</t>
        </is>
      </c>
      <c r="B6" s="17" t="inlineStr">
        <is>
          <t>Validar la precisión del modelo midiendo métricas como el Error Cuadrático Medio (RMSE) o R². Garantizar que las predicciones sean lógicas y aporten valor estratégico al área de Gestión Humana.</t>
        </is>
      </c>
    </row>
    <row r="7">
      <c r="A7" s="16" t="inlineStr">
        <is>
          <t>6. Despliegue (Deployment)</t>
        </is>
      </c>
      <c r="B7" s="17" t="inlineStr">
        <is>
          <t>Integrar el modelo predictivo en dashboards funcionales de Excel (usando BUSCARV / Tablas Dinámicas) o softwares como Power BI / Python para consulta interactiva por número de cédula.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2026-09-09T13:46:13Z</dcterms:created>
  <dcterms:modified xmlns:dcterms="http://purl.org/dc/terms/" xmlns:xsi="http://www.w3.org/2001/XMLSchema-instance" xsi:type="dcterms:W3CDTF">2026-09-09T14:20:31Z</dcterms:modified>
</cp:coreProperties>
</file>